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i4khurra_uwaterloo_ca/Documents/"/>
    </mc:Choice>
  </mc:AlternateContent>
  <xr:revisionPtr revIDLastSave="314" documentId="8_{D6392652-BBCC-49A8-A21B-217BD548EFFC}" xr6:coauthVersionLast="47" xr6:coauthVersionMax="47" xr10:uidLastSave="{70131732-9D88-4CA2-9DD2-E0406CAEAD73}"/>
  <bookViews>
    <workbookView xWindow="-108" yWindow="-108" windowWidth="23256" windowHeight="13896" xr2:uid="{DFFD0235-A8A7-4C61-968D-B5692EFBA224}"/>
  </bookViews>
  <sheets>
    <sheet name="Golf Data" sheetId="1" r:id="rId1"/>
    <sheet name="Dashboard" sheetId="2" r:id="rId2"/>
  </sheets>
  <definedNames>
    <definedName name="_xlchart.v1.0" hidden="1">'Golf Data'!$C$4:$C$18</definedName>
    <definedName name="_xlchart.v1.1" hidden="1">'Golf Data'!$C$4:$C$18</definedName>
    <definedName name="_xlchart.v1.2" hidden="1">'Golf Data'!$C$4:$C$18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L15" i="2"/>
  <c r="L14" i="2"/>
  <c r="L13" i="2"/>
  <c r="J7" i="2" a="1"/>
  <c r="J7" i="2" s="1"/>
  <c r="J10" i="2"/>
  <c r="F10" i="2"/>
  <c r="B10" i="2"/>
  <c r="F7" i="2"/>
  <c r="B7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2" l="1"/>
  <c r="F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<sst xmlns="http://schemas.openxmlformats.org/spreadsheetml/2006/main" count="40" uniqueCount="30">
  <si>
    <t>Date</t>
  </si>
  <si>
    <t>Course</t>
  </si>
  <si>
    <t>Score</t>
  </si>
  <si>
    <t>Fairways Hit</t>
  </si>
  <si>
    <t>GIR</t>
  </si>
  <si>
    <t>Putts</t>
  </si>
  <si>
    <t>Penalties</t>
  </si>
  <si>
    <t>Par</t>
  </si>
  <si>
    <t>Par Vs Score</t>
  </si>
  <si>
    <t>Piper’s Heath</t>
  </si>
  <si>
    <t>Royal Ontario</t>
  </si>
  <si>
    <t>Glen Abbey</t>
  </si>
  <si>
    <t>Lionhead</t>
  </si>
  <si>
    <t>Rattlesnake Point</t>
  </si>
  <si>
    <t>Average Score</t>
  </si>
  <si>
    <t>Best Round</t>
  </si>
  <si>
    <t>Worst Round</t>
  </si>
  <si>
    <t>Average Putts</t>
  </si>
  <si>
    <t>Average GIR</t>
  </si>
  <si>
    <t>Fairway Hit %</t>
  </si>
  <si>
    <t># Of Fairways</t>
  </si>
  <si>
    <t>Breaking 90 %</t>
  </si>
  <si>
    <t>Breaking 85 %</t>
  </si>
  <si>
    <t>Breaking 80 %</t>
  </si>
  <si>
    <t>Golf Performance Analytics Dashboard</t>
  </si>
  <si>
    <t>Correlation To Score</t>
  </si>
  <si>
    <t>GIR Vs Score</t>
  </si>
  <si>
    <t>Fairways Vs Score</t>
  </si>
  <si>
    <t>Putts Vs Score</t>
  </si>
  <si>
    <t>Golf Analysis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</si>
</sst>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\+0;\-0;0"/>
    <numFmt numFmtId="171" formatCode="0.0%"/>
  </numFmts>
  <fonts count="7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70" fontId="0" fillId="0" borderId="3" xfId="0" applyNumberForma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0" fontId="6" fillId="0" borderId="0" xfId="0" applyFont="1"/>
    <xf numFmtId="0" fontId="6" fillId="2" borderId="4" xfId="0" applyFont="1" applyFill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Score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'Golf Data'!$A$4:$A$18</c:f>
              <c:numCache>
                <c:formatCode>m/d/yyyy</c:formatCode>
                <c:ptCount val="15"/>
                <c:pt idx="0">
                  <c:v>46113</c:v>
                </c:pt>
                <c:pt idx="1">
                  <c:v>46117</c:v>
                </c:pt>
                <c:pt idx="2">
                  <c:v>46121</c:v>
                </c:pt>
                <c:pt idx="3">
                  <c:v>46125</c:v>
                </c:pt>
                <c:pt idx="4">
                  <c:v>46128</c:v>
                </c:pt>
                <c:pt idx="5">
                  <c:v>46132</c:v>
                </c:pt>
                <c:pt idx="6">
                  <c:v>46136</c:v>
                </c:pt>
                <c:pt idx="7">
                  <c:v>46140</c:v>
                </c:pt>
                <c:pt idx="8">
                  <c:v>46144</c:v>
                </c:pt>
                <c:pt idx="9">
                  <c:v>46148</c:v>
                </c:pt>
                <c:pt idx="10">
                  <c:v>46152</c:v>
                </c:pt>
                <c:pt idx="11">
                  <c:v>46156</c:v>
                </c:pt>
                <c:pt idx="12">
                  <c:v>46160</c:v>
                </c:pt>
                <c:pt idx="13">
                  <c:v>46164</c:v>
                </c:pt>
                <c:pt idx="14">
                  <c:v>46168</c:v>
                </c:pt>
              </c:numCache>
            </c:numRef>
          </c:cat>
          <c:val>
            <c:numRef>
              <c:f>'Golf Data'!$C$4:$C$18</c:f>
              <c:numCache>
                <c:formatCode>General</c:formatCode>
                <c:ptCount val="15"/>
                <c:pt idx="0">
                  <c:v>96</c:v>
                </c:pt>
                <c:pt idx="1">
                  <c:v>91</c:v>
                </c:pt>
                <c:pt idx="2">
                  <c:v>88</c:v>
                </c:pt>
                <c:pt idx="3">
                  <c:v>94</c:v>
                </c:pt>
                <c:pt idx="4">
                  <c:v>86</c:v>
                </c:pt>
                <c:pt idx="5">
                  <c:v>90</c:v>
                </c:pt>
                <c:pt idx="6">
                  <c:v>84</c:v>
                </c:pt>
                <c:pt idx="7">
                  <c:v>93</c:v>
                </c:pt>
                <c:pt idx="8">
                  <c:v>87</c:v>
                </c:pt>
                <c:pt idx="9">
                  <c:v>82</c:v>
                </c:pt>
                <c:pt idx="10">
                  <c:v>89</c:v>
                </c:pt>
                <c:pt idx="11">
                  <c:v>85</c:v>
                </c:pt>
                <c:pt idx="12">
                  <c:v>92</c:v>
                </c:pt>
                <c:pt idx="13">
                  <c:v>83</c:v>
                </c:pt>
                <c:pt idx="14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7-4085-B804-58049298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493360"/>
        <c:axId val="1708493840"/>
      </c:lineChart>
      <c:dateAx>
        <c:axId val="1708493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93840"/>
        <c:crosses val="autoZero"/>
        <c:auto val="1"/>
        <c:lblOffset val="100"/>
        <c:baseTimeUnit val="days"/>
      </c:dateAx>
      <c:valAx>
        <c:axId val="17084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9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Putts Vs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9420384951881"/>
          <c:y val="0.12541666666666668"/>
          <c:w val="0.86972462817147866"/>
          <c:h val="0.7249383931175269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'Golf Data'!$C$4:$C$18</c:f>
              <c:numCache>
                <c:formatCode>General</c:formatCode>
                <c:ptCount val="15"/>
                <c:pt idx="0">
                  <c:v>96</c:v>
                </c:pt>
                <c:pt idx="1">
                  <c:v>91</c:v>
                </c:pt>
                <c:pt idx="2">
                  <c:v>88</c:v>
                </c:pt>
                <c:pt idx="3">
                  <c:v>94</c:v>
                </c:pt>
                <c:pt idx="4">
                  <c:v>86</c:v>
                </c:pt>
                <c:pt idx="5">
                  <c:v>90</c:v>
                </c:pt>
                <c:pt idx="6">
                  <c:v>84</c:v>
                </c:pt>
                <c:pt idx="7">
                  <c:v>93</c:v>
                </c:pt>
                <c:pt idx="8">
                  <c:v>87</c:v>
                </c:pt>
                <c:pt idx="9">
                  <c:v>82</c:v>
                </c:pt>
                <c:pt idx="10">
                  <c:v>89</c:v>
                </c:pt>
                <c:pt idx="11">
                  <c:v>85</c:v>
                </c:pt>
                <c:pt idx="12">
                  <c:v>92</c:v>
                </c:pt>
                <c:pt idx="13">
                  <c:v>83</c:v>
                </c:pt>
                <c:pt idx="14">
                  <c:v>86</c:v>
                </c:pt>
              </c:numCache>
            </c:numRef>
          </c:xVal>
          <c:yVal>
            <c:numRef>
              <c:f>'Golf Data'!$G$4:$G$18</c:f>
              <c:numCache>
                <c:formatCode>General</c:formatCode>
                <c:ptCount val="15"/>
                <c:pt idx="0">
                  <c:v>37</c:v>
                </c:pt>
                <c:pt idx="1">
                  <c:v>34</c:v>
                </c:pt>
                <c:pt idx="2">
                  <c:v>32</c:v>
                </c:pt>
                <c:pt idx="3">
                  <c:v>36</c:v>
                </c:pt>
                <c:pt idx="4">
                  <c:v>31</c:v>
                </c:pt>
                <c:pt idx="5">
                  <c:v>33</c:v>
                </c:pt>
                <c:pt idx="6">
                  <c:v>30</c:v>
                </c:pt>
                <c:pt idx="7">
                  <c:v>35</c:v>
                </c:pt>
                <c:pt idx="8">
                  <c:v>32</c:v>
                </c:pt>
                <c:pt idx="9">
                  <c:v>29</c:v>
                </c:pt>
                <c:pt idx="10">
                  <c:v>33</c:v>
                </c:pt>
                <c:pt idx="11">
                  <c:v>31</c:v>
                </c:pt>
                <c:pt idx="12">
                  <c:v>35</c:v>
                </c:pt>
                <c:pt idx="13">
                  <c:v>29</c:v>
                </c:pt>
                <c:pt idx="14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C-4E7E-A409-21297D3AE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816512"/>
        <c:axId val="269816992"/>
      </c:scatterChart>
      <c:valAx>
        <c:axId val="26981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16992"/>
        <c:crosses val="autoZero"/>
        <c:crossBetween val="midCat"/>
      </c:valAx>
      <c:valAx>
        <c:axId val="2698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Putts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16512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Scores</a:t>
          </a:r>
        </a:p>
      </cx:txPr>
    </cx:title>
    <cx:plotArea>
      <cx:plotAreaRegion>
        <cx:series layoutId="clusteredColumn" uniqueId="{CE592474-BE88-4A48-85F4-9700682E982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11</xdr:row>
      <xdr:rowOff>7620</xdr:rowOff>
    </xdr:from>
    <xdr:to>
      <xdr:col>8</xdr:col>
      <xdr:colOff>154329</xdr:colOff>
      <xdr:row>23</xdr:row>
      <xdr:rowOff>173620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1D68A-D438-4035-B552-19F3B8E42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24516</xdr:colOff>
      <xdr:row>16</xdr:row>
      <xdr:rowOff>3080</xdr:rowOff>
    </xdr:from>
    <xdr:to>
      <xdr:col>16</xdr:col>
      <xdr:colOff>603249</xdr:colOff>
      <xdr:row>32</xdr:row>
      <xdr:rowOff>169334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3DDB549-7875-4729-90EA-CFF4408998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6099" y="3834247"/>
              <a:ext cx="5214233" cy="304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598026</xdr:colOff>
      <xdr:row>24</xdr:row>
      <xdr:rowOff>57874</xdr:rowOff>
    </xdr:from>
    <xdr:to>
      <xdr:col>8</xdr:col>
      <xdr:colOff>125393</xdr:colOff>
      <xdr:row>39</xdr:row>
      <xdr:rowOff>52087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9476CD-DB91-46D9-AFF3-10261FCCC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21167</xdr:colOff>
      <xdr:row>7</xdr:row>
      <xdr:rowOff>21167</xdr:rowOff>
    </xdr:from>
    <xdr:ext cx="4296833" cy="17676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70049D6-16AA-5B28-4EBE-7BAC8E656521}"/>
            </a:ext>
          </a:extLst>
        </xdr:cNvPr>
        <xdr:cNvSpPr txBox="1"/>
      </xdr:nvSpPr>
      <xdr:spPr>
        <a:xfrm>
          <a:off x="8286750" y="1873250"/>
          <a:ext cx="4296833" cy="176766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 b="1"/>
            <a:t>Key Insights:</a:t>
          </a:r>
        </a:p>
        <a:p>
          <a:endParaRPr lang="en-CA" sz="1100">
            <a:ln w="15875">
              <a:solidFill>
                <a:schemeClr val="tx1"/>
              </a:solidFill>
            </a:ln>
          </a:endParaRPr>
        </a:p>
        <a:p>
          <a:r>
            <a:rPr lang="en-CA" sz="1600"/>
            <a:t>- Putting shows strongest positive correlation with        score</a:t>
          </a:r>
        </a:p>
        <a:p>
          <a:r>
            <a:rPr lang="en-CA" sz="1600"/>
            <a:t>- GIR strongly associated with lower scores</a:t>
          </a:r>
        </a:p>
        <a:p>
          <a:r>
            <a:rPr lang="en-CA" sz="1600"/>
            <a:t>-  66.7% probability of breaking 90</a:t>
          </a:r>
        </a:p>
        <a:p>
          <a:r>
            <a:rPr lang="en-CA" sz="1600"/>
            <a:t>-  Performance trend improving over time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370D3-5B67-44DE-BE82-10C2357E1596}" name="GolfData" displayName="GolfData" ref="A3:J18" totalsRowShown="0">
  <autoFilter ref="A3:J18" xr:uid="{7D9370D3-5B67-44DE-BE82-10C2357E1596}"/>
  <tableColumns count="10">
    <tableColumn id="1" xr3:uid="{3A8FED5C-0DA6-4565-B19F-F2257700BD9E}" name="Date"/>
    <tableColumn id="2" xr3:uid="{345ADD83-BB21-4144-BCF7-B4509F083E88}" name="Course"/>
    <tableColumn id="3" xr3:uid="{8364AB3C-4597-40B5-9FBD-488DC98B2129}" name="Score"/>
    <tableColumn id="11" xr3:uid="{4CC485E5-481E-4BD1-92B7-BE37ACC968A8}" name="# Of Fairways" dataDxfId="0"/>
    <tableColumn id="4" xr3:uid="{B513E29D-18F3-46F9-8941-B258FEE6F178}" name="Fairways Hit"/>
    <tableColumn id="5" xr3:uid="{3B14199A-F162-4788-9480-5E8BFE189E27}" name="GIR"/>
    <tableColumn id="6" xr3:uid="{92868DF8-13C6-47EE-ACB4-64033A1046BD}" name="Putts"/>
    <tableColumn id="7" xr3:uid="{A70C3313-E437-4B5A-8D16-390A6C6592DB}" name="Penalties"/>
    <tableColumn id="8" xr3:uid="{CB596831-3E88-46B0-A2B8-50AEC153E303}" name="Par"/>
    <tableColumn id="9" xr3:uid="{8C6921E9-56AA-4F32-B9CD-A97DB6F0720E}" name="Par Vs Score" dataDxfId="1">
      <calculatedColumnFormula>GolfData[[#This Row],[Score]] - GolfData[[#This Row],[Par]]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E7B4-FC3D-4883-935E-2EDAEAD59751}">
  <dimension ref="A1:J18"/>
  <sheetViews>
    <sheetView tabSelected="1" workbookViewId="0">
      <selection activeCell="D23" sqref="D23"/>
    </sheetView>
  </sheetViews>
  <sheetFormatPr defaultRowHeight="14.4" x14ac:dyDescent="0.3"/>
  <cols>
    <col min="1" max="1" width="12.6640625" customWidth="1"/>
    <col min="2" max="2" width="15.77734375" customWidth="1"/>
    <col min="4" max="4" width="12" customWidth="1"/>
    <col min="5" max="5" width="12.6640625" customWidth="1"/>
    <col min="8" max="8" width="10.33203125" customWidth="1"/>
    <col min="10" max="10" width="14.21875" customWidth="1"/>
  </cols>
  <sheetData>
    <row r="1" spans="1:10" ht="34.799999999999997" customHeight="1" x14ac:dyDescent="0.3">
      <c r="A1" s="22" t="s">
        <v>29</v>
      </c>
      <c r="B1" s="22"/>
      <c r="C1" s="22"/>
      <c r="D1" s="22"/>
      <c r="E1" s="22"/>
      <c r="F1" s="22"/>
    </row>
    <row r="3" spans="1:10" x14ac:dyDescent="0.3">
      <c r="A3" t="s">
        <v>0</v>
      </c>
      <c r="B3" t="s">
        <v>1</v>
      </c>
      <c r="C3" t="s">
        <v>2</v>
      </c>
      <c r="D3" t="s">
        <v>20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1:10" x14ac:dyDescent="0.3">
      <c r="A4" s="1">
        <v>46113</v>
      </c>
      <c r="B4" s="2" t="s">
        <v>9</v>
      </c>
      <c r="C4" s="2">
        <v>96</v>
      </c>
      <c r="D4" s="2">
        <v>15</v>
      </c>
      <c r="E4" s="2">
        <v>5</v>
      </c>
      <c r="F4" s="2">
        <v>3</v>
      </c>
      <c r="G4" s="2">
        <v>37</v>
      </c>
      <c r="H4" s="2">
        <v>3</v>
      </c>
      <c r="I4" s="2">
        <v>72</v>
      </c>
      <c r="J4" s="3">
        <f>GolfData[[#This Row],[Score]] - GolfData[[#This Row],[Par]]</f>
        <v>24</v>
      </c>
    </row>
    <row r="5" spans="1:10" x14ac:dyDescent="0.3">
      <c r="A5" s="1">
        <v>46117</v>
      </c>
      <c r="B5" s="2" t="s">
        <v>10</v>
      </c>
      <c r="C5" s="2">
        <v>91</v>
      </c>
      <c r="D5" s="2">
        <v>14</v>
      </c>
      <c r="E5" s="2">
        <v>7</v>
      </c>
      <c r="F5" s="2">
        <v>5</v>
      </c>
      <c r="G5" s="2">
        <v>34</v>
      </c>
      <c r="H5" s="2">
        <v>2</v>
      </c>
      <c r="I5" s="2">
        <v>70</v>
      </c>
      <c r="J5" s="3">
        <f>GolfData[[#This Row],[Score]] - GolfData[[#This Row],[Par]]</f>
        <v>21</v>
      </c>
    </row>
    <row r="6" spans="1:10" x14ac:dyDescent="0.3">
      <c r="A6" s="1">
        <v>46121</v>
      </c>
      <c r="B6" s="2" t="s">
        <v>11</v>
      </c>
      <c r="C6" s="2">
        <v>88</v>
      </c>
      <c r="D6" s="2">
        <v>17</v>
      </c>
      <c r="E6" s="2">
        <v>8</v>
      </c>
      <c r="F6" s="2">
        <v>6</v>
      </c>
      <c r="G6" s="2">
        <v>32</v>
      </c>
      <c r="H6" s="2">
        <v>1</v>
      </c>
      <c r="I6" s="2">
        <v>73</v>
      </c>
      <c r="J6" s="3">
        <f>GolfData[[#This Row],[Score]] - GolfData[[#This Row],[Par]]</f>
        <v>15</v>
      </c>
    </row>
    <row r="7" spans="1:10" x14ac:dyDescent="0.3">
      <c r="A7" s="1">
        <v>46125</v>
      </c>
      <c r="B7" s="2" t="s">
        <v>12</v>
      </c>
      <c r="C7" s="2">
        <v>94</v>
      </c>
      <c r="D7" s="2">
        <v>14</v>
      </c>
      <c r="E7" s="2">
        <v>6</v>
      </c>
      <c r="F7" s="2">
        <v>4</v>
      </c>
      <c r="G7" s="2">
        <v>36</v>
      </c>
      <c r="H7" s="2">
        <v>2</v>
      </c>
      <c r="I7" s="2">
        <v>72</v>
      </c>
      <c r="J7" s="3">
        <f>GolfData[[#This Row],[Score]] - GolfData[[#This Row],[Par]]</f>
        <v>22</v>
      </c>
    </row>
    <row r="8" spans="1:10" x14ac:dyDescent="0.3">
      <c r="A8" s="1">
        <v>46128</v>
      </c>
      <c r="B8" s="2" t="s">
        <v>13</v>
      </c>
      <c r="C8" s="2">
        <v>86</v>
      </c>
      <c r="D8" s="2">
        <v>15</v>
      </c>
      <c r="E8" s="2">
        <v>9</v>
      </c>
      <c r="F8" s="2">
        <v>7</v>
      </c>
      <c r="G8" s="2">
        <v>31</v>
      </c>
      <c r="H8" s="2">
        <v>1</v>
      </c>
      <c r="I8" s="2">
        <v>71</v>
      </c>
      <c r="J8" s="3">
        <f>GolfData[[#This Row],[Score]] - GolfData[[#This Row],[Par]]</f>
        <v>15</v>
      </c>
    </row>
    <row r="9" spans="1:10" x14ac:dyDescent="0.3">
      <c r="A9" s="1">
        <v>46132</v>
      </c>
      <c r="B9" s="2" t="s">
        <v>9</v>
      </c>
      <c r="C9" s="2">
        <v>90</v>
      </c>
      <c r="D9" s="2">
        <v>14</v>
      </c>
      <c r="E9" s="2">
        <v>7</v>
      </c>
      <c r="F9" s="2">
        <v>5</v>
      </c>
      <c r="G9" s="2">
        <v>33</v>
      </c>
      <c r="H9" s="2">
        <v>2</v>
      </c>
      <c r="I9" s="2">
        <v>72</v>
      </c>
      <c r="J9" s="3">
        <f>GolfData[[#This Row],[Score]] - GolfData[[#This Row],[Par]]</f>
        <v>18</v>
      </c>
    </row>
    <row r="10" spans="1:10" x14ac:dyDescent="0.3">
      <c r="A10" s="1">
        <v>46136</v>
      </c>
      <c r="B10" s="2" t="s">
        <v>10</v>
      </c>
      <c r="C10" s="2">
        <v>84</v>
      </c>
      <c r="D10" s="2">
        <v>14</v>
      </c>
      <c r="E10" s="2">
        <v>10</v>
      </c>
      <c r="F10" s="2">
        <v>8</v>
      </c>
      <c r="G10" s="2">
        <v>30</v>
      </c>
      <c r="H10" s="2">
        <v>1</v>
      </c>
      <c r="I10" s="2">
        <v>72</v>
      </c>
      <c r="J10" s="3">
        <f>GolfData[[#This Row],[Score]] - GolfData[[#This Row],[Par]]</f>
        <v>12</v>
      </c>
    </row>
    <row r="11" spans="1:10" ht="16.8" customHeight="1" x14ac:dyDescent="0.3">
      <c r="A11" s="1">
        <v>46140</v>
      </c>
      <c r="B11" s="2" t="s">
        <v>11</v>
      </c>
      <c r="C11" s="2">
        <v>93</v>
      </c>
      <c r="D11" s="2">
        <v>15</v>
      </c>
      <c r="E11" s="2">
        <v>6</v>
      </c>
      <c r="F11" s="2">
        <v>4</v>
      </c>
      <c r="G11" s="2">
        <v>35</v>
      </c>
      <c r="H11" s="2">
        <v>3</v>
      </c>
      <c r="I11" s="2">
        <v>71</v>
      </c>
      <c r="J11" s="3">
        <f>GolfData[[#This Row],[Score]] - GolfData[[#This Row],[Par]]</f>
        <v>22</v>
      </c>
    </row>
    <row r="12" spans="1:10" x14ac:dyDescent="0.3">
      <c r="A12" s="1">
        <v>46144</v>
      </c>
      <c r="B12" s="2" t="s">
        <v>12</v>
      </c>
      <c r="C12" s="2">
        <v>87</v>
      </c>
      <c r="D12" s="2">
        <v>16</v>
      </c>
      <c r="E12" s="2">
        <v>8</v>
      </c>
      <c r="F12" s="2">
        <v>6</v>
      </c>
      <c r="G12" s="2">
        <v>32</v>
      </c>
      <c r="H12" s="2">
        <v>1</v>
      </c>
      <c r="I12" s="2">
        <v>73</v>
      </c>
      <c r="J12" s="3">
        <f>GolfData[[#This Row],[Score]] - GolfData[[#This Row],[Par]]</f>
        <v>14</v>
      </c>
    </row>
    <row r="13" spans="1:10" ht="13.8" customHeight="1" x14ac:dyDescent="0.3">
      <c r="A13" s="1">
        <v>46148</v>
      </c>
      <c r="B13" s="2" t="s">
        <v>13</v>
      </c>
      <c r="C13" s="2">
        <v>82</v>
      </c>
      <c r="D13" s="2">
        <v>14</v>
      </c>
      <c r="E13" s="2">
        <v>11</v>
      </c>
      <c r="F13" s="2">
        <v>9</v>
      </c>
      <c r="G13" s="2">
        <v>29</v>
      </c>
      <c r="H13" s="2">
        <v>0</v>
      </c>
      <c r="I13" s="2">
        <v>71</v>
      </c>
      <c r="J13" s="3">
        <f>GolfData[[#This Row],[Score]] - GolfData[[#This Row],[Par]]</f>
        <v>11</v>
      </c>
    </row>
    <row r="14" spans="1:10" x14ac:dyDescent="0.3">
      <c r="A14" s="1">
        <v>46152</v>
      </c>
      <c r="B14" s="2" t="s">
        <v>9</v>
      </c>
      <c r="C14" s="2">
        <v>89</v>
      </c>
      <c r="D14" s="2">
        <v>15</v>
      </c>
      <c r="E14" s="2">
        <v>7</v>
      </c>
      <c r="F14" s="2">
        <v>6</v>
      </c>
      <c r="G14" s="2">
        <v>33</v>
      </c>
      <c r="H14" s="2">
        <v>1</v>
      </c>
      <c r="I14" s="2">
        <v>73</v>
      </c>
      <c r="J14" s="3">
        <f>GolfData[[#This Row],[Score]] - GolfData[[#This Row],[Par]]</f>
        <v>16</v>
      </c>
    </row>
    <row r="15" spans="1:10" x14ac:dyDescent="0.3">
      <c r="A15" s="1">
        <v>46156</v>
      </c>
      <c r="B15" s="2" t="s">
        <v>10</v>
      </c>
      <c r="C15" s="2">
        <v>85</v>
      </c>
      <c r="D15" s="2">
        <v>14</v>
      </c>
      <c r="E15" s="2">
        <v>9</v>
      </c>
      <c r="F15" s="2">
        <v>7</v>
      </c>
      <c r="G15" s="2">
        <v>31</v>
      </c>
      <c r="H15" s="2">
        <v>1</v>
      </c>
      <c r="I15" s="2">
        <v>72</v>
      </c>
      <c r="J15" s="3">
        <f>GolfData[[#This Row],[Score]] - GolfData[[#This Row],[Par]]</f>
        <v>13</v>
      </c>
    </row>
    <row r="16" spans="1:10" x14ac:dyDescent="0.3">
      <c r="A16" s="1">
        <v>46160</v>
      </c>
      <c r="B16" s="2" t="s">
        <v>11</v>
      </c>
      <c r="C16" s="2">
        <v>92</v>
      </c>
      <c r="D16" s="2">
        <v>14</v>
      </c>
      <c r="E16" s="2">
        <v>6</v>
      </c>
      <c r="F16" s="2">
        <v>5</v>
      </c>
      <c r="G16" s="2">
        <v>35</v>
      </c>
      <c r="H16" s="2">
        <v>2</v>
      </c>
      <c r="I16" s="2">
        <v>72</v>
      </c>
      <c r="J16" s="3">
        <f>GolfData[[#This Row],[Score]] - GolfData[[#This Row],[Par]]</f>
        <v>20</v>
      </c>
    </row>
    <row r="17" spans="1:10" x14ac:dyDescent="0.3">
      <c r="A17" s="1">
        <v>46164</v>
      </c>
      <c r="B17" s="2" t="s">
        <v>12</v>
      </c>
      <c r="C17" s="2">
        <v>83</v>
      </c>
      <c r="D17" s="2">
        <v>14</v>
      </c>
      <c r="E17" s="2">
        <v>10</v>
      </c>
      <c r="F17" s="2">
        <v>8</v>
      </c>
      <c r="G17" s="2">
        <v>29</v>
      </c>
      <c r="H17" s="2">
        <v>0</v>
      </c>
      <c r="I17" s="2">
        <v>71</v>
      </c>
      <c r="J17" s="3">
        <f>GolfData[[#This Row],[Score]] - GolfData[[#This Row],[Par]]</f>
        <v>12</v>
      </c>
    </row>
    <row r="18" spans="1:10" x14ac:dyDescent="0.3">
      <c r="A18" s="1">
        <v>46168</v>
      </c>
      <c r="B18" s="2" t="s">
        <v>13</v>
      </c>
      <c r="C18" s="2">
        <v>86</v>
      </c>
      <c r="D18" s="2">
        <v>15</v>
      </c>
      <c r="E18" s="2">
        <v>8</v>
      </c>
      <c r="F18" s="2">
        <v>7</v>
      </c>
      <c r="G18" s="2">
        <v>31</v>
      </c>
      <c r="H18" s="2">
        <v>1</v>
      </c>
      <c r="I18" s="2">
        <v>72</v>
      </c>
      <c r="J18" s="3">
        <f>GolfData[[#This Row],[Score]] - GolfData[[#This Row],[Par]]</f>
        <v>14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26D2-072E-40E2-8046-A66E86275FAA}">
  <dimension ref="B1:M17"/>
  <sheetViews>
    <sheetView zoomScale="72" workbookViewId="0">
      <selection activeCell="AF26" sqref="AF26"/>
    </sheetView>
  </sheetViews>
  <sheetFormatPr defaultRowHeight="14.4" x14ac:dyDescent="0.3"/>
  <cols>
    <col min="9" max="9" width="8.109375" customWidth="1"/>
    <col min="10" max="10" width="9.77734375" customWidth="1"/>
    <col min="11" max="11" width="10.44140625" customWidth="1"/>
    <col min="12" max="12" width="11.5546875" customWidth="1"/>
  </cols>
  <sheetData>
    <row r="1" spans="2:13" ht="40.799999999999997" customHeight="1" thickBot="1" x14ac:dyDescent="0.35">
      <c r="G1" s="11" t="s">
        <v>24</v>
      </c>
      <c r="H1" s="12"/>
      <c r="I1" s="12"/>
      <c r="J1" s="12"/>
      <c r="K1" s="12"/>
      <c r="L1" s="12"/>
      <c r="M1" s="13"/>
    </row>
    <row r="3" spans="2:13" ht="21" x14ac:dyDescent="0.4">
      <c r="B3" s="18" t="s">
        <v>14</v>
      </c>
      <c r="C3" s="18"/>
      <c r="D3" s="18"/>
      <c r="F3" s="18" t="s">
        <v>15</v>
      </c>
      <c r="G3" s="18"/>
      <c r="H3" s="18"/>
      <c r="J3" s="18" t="s">
        <v>16</v>
      </c>
      <c r="K3" s="18"/>
      <c r="L3" s="18"/>
    </row>
    <row r="4" spans="2:13" x14ac:dyDescent="0.3">
      <c r="B4" s="7">
        <f>AVERAGE(GolfData[Score])</f>
        <v>88.4</v>
      </c>
      <c r="C4" s="5"/>
      <c r="D4" s="9"/>
      <c r="F4" s="8">
        <f>MIN(GolfData[Par Vs Score])</f>
        <v>11</v>
      </c>
      <c r="G4" s="6"/>
      <c r="H4" s="10"/>
      <c r="J4" s="19">
        <f>MAX(GolfData[Par Vs Score])</f>
        <v>24</v>
      </c>
      <c r="K4" s="19"/>
      <c r="L4" s="19"/>
    </row>
    <row r="5" spans="2:13" ht="21" x14ac:dyDescent="0.4">
      <c r="E5" s="17"/>
    </row>
    <row r="6" spans="2:13" ht="21" x14ac:dyDescent="0.4">
      <c r="B6" s="18" t="s">
        <v>17</v>
      </c>
      <c r="C6" s="18"/>
      <c r="D6" s="18"/>
      <c r="F6" s="18" t="s">
        <v>18</v>
      </c>
      <c r="G6" s="18"/>
      <c r="H6" s="18"/>
      <c r="J6" s="18" t="s">
        <v>19</v>
      </c>
      <c r="K6" s="18"/>
      <c r="L6" s="18"/>
    </row>
    <row r="7" spans="2:13" x14ac:dyDescent="0.3">
      <c r="B7" s="21">
        <f>AVERAGE(GolfData[Putts])</f>
        <v>32.533333333333331</v>
      </c>
      <c r="C7" s="21"/>
      <c r="D7" s="21"/>
      <c r="F7" s="21">
        <f>AVERAGE(GolfData[GIR])</f>
        <v>6</v>
      </c>
      <c r="G7" s="21"/>
      <c r="H7" s="21"/>
      <c r="J7" s="20" cm="1">
        <f t="array" ref="J7">AVERAGE(GolfData[Fairways Hit]/ GolfData['# Of Fairways])</f>
        <v>0.53454715219421112</v>
      </c>
      <c r="K7" s="20"/>
      <c r="L7" s="20"/>
    </row>
    <row r="9" spans="2:13" ht="21" x14ac:dyDescent="0.4">
      <c r="B9" s="18" t="s">
        <v>21</v>
      </c>
      <c r="C9" s="18"/>
      <c r="D9" s="18"/>
      <c r="F9" s="18" t="s">
        <v>22</v>
      </c>
      <c r="G9" s="18"/>
      <c r="H9" s="18"/>
      <c r="J9" s="18" t="s">
        <v>23</v>
      </c>
      <c r="K9" s="18"/>
      <c r="L9" s="18"/>
    </row>
    <row r="10" spans="2:13" x14ac:dyDescent="0.3">
      <c r="B10" s="20">
        <f>COUNTIF(GolfData[Score],"&lt;=90")/ROWS(GolfData[Score])</f>
        <v>0.66666666666666663</v>
      </c>
      <c r="C10" s="20"/>
      <c r="D10" s="20"/>
      <c r="F10" s="20">
        <f>COUNTIF(GolfData[Score],"&lt;=85")/ROWS(GolfData[Score])</f>
        <v>0.26666666666666666</v>
      </c>
      <c r="G10" s="20"/>
      <c r="H10" s="20"/>
      <c r="J10" s="20">
        <f>COUNTIF(GolfData[Score],"&lt;=80")/ROWS(GolfData[Score])</f>
        <v>0</v>
      </c>
      <c r="K10" s="20"/>
      <c r="L10" s="20"/>
    </row>
    <row r="11" spans="2:13" x14ac:dyDescent="0.3">
      <c r="B11" s="4"/>
      <c r="C11" s="4"/>
      <c r="D11" s="4"/>
    </row>
    <row r="12" spans="2:13" ht="23.4" x14ac:dyDescent="0.45">
      <c r="J12" s="14" t="s">
        <v>25</v>
      </c>
      <c r="K12" s="14"/>
      <c r="L12" s="14"/>
    </row>
    <row r="13" spans="2:13" ht="18" x14ac:dyDescent="0.35">
      <c r="J13" s="16" t="s">
        <v>28</v>
      </c>
      <c r="K13" s="16"/>
      <c r="L13" s="15">
        <f>CORREL(GolfData[Putts],GolfData[Score])</f>
        <v>0.99384438162703592</v>
      </c>
    </row>
    <row r="14" spans="2:13" ht="18" x14ac:dyDescent="0.35">
      <c r="J14" s="16" t="s">
        <v>26</v>
      </c>
      <c r="K14" s="16"/>
      <c r="L14" s="15">
        <f>CORREL(GolfData[GIR],GolfData[Score])</f>
        <v>-0.98473814204622245</v>
      </c>
    </row>
    <row r="15" spans="2:13" ht="18" x14ac:dyDescent="0.35">
      <c r="J15" s="16" t="s">
        <v>27</v>
      </c>
      <c r="K15" s="16"/>
      <c r="L15" s="15">
        <f>CORREL(GolfData[Fairways Hit],GolfData[Score])</f>
        <v>-0.97402990920660026</v>
      </c>
    </row>
    <row r="17" spans="6:6" x14ac:dyDescent="0.3">
      <c r="F17" s="4"/>
    </row>
  </sheetData>
  <mergeCells count="23">
    <mergeCell ref="J12:L12"/>
    <mergeCell ref="J13:K13"/>
    <mergeCell ref="J14:K14"/>
    <mergeCell ref="J15:K15"/>
    <mergeCell ref="B9:D9"/>
    <mergeCell ref="B10:D10"/>
    <mergeCell ref="F9:H9"/>
    <mergeCell ref="F10:H10"/>
    <mergeCell ref="J9:L9"/>
    <mergeCell ref="J10:L10"/>
    <mergeCell ref="B6:D6"/>
    <mergeCell ref="B7:D7"/>
    <mergeCell ref="F6:H6"/>
    <mergeCell ref="F7:H7"/>
    <mergeCell ref="J6:L6"/>
    <mergeCell ref="J7:L7"/>
    <mergeCell ref="B3:D3"/>
    <mergeCell ref="B4:D4"/>
    <mergeCell ref="F3:H3"/>
    <mergeCell ref="F4:H4"/>
    <mergeCell ref="J3:L3"/>
    <mergeCell ref="J4:L4"/>
    <mergeCell ref="G1:M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63D2D61D264B4993DD5ED1D6266822" ma:contentTypeVersion="4" ma:contentTypeDescription="Create a new document." ma:contentTypeScope="" ma:versionID="5f238b14c1d7fc567b532816a20be91f">
  <xsd:schema xmlns:xsd="http://www.w3.org/2001/XMLSchema" xmlns:xs="http://www.w3.org/2001/XMLSchema" xmlns:p="http://schemas.microsoft.com/office/2006/metadata/properties" xmlns:ns3="2f5f929c-c5b2-469d-8a2a-ce826e253423" targetNamespace="http://schemas.microsoft.com/office/2006/metadata/properties" ma:root="true" ma:fieldsID="bf84fc442c8bef4861b51e1ff1bdbe87" ns3:_="">
    <xsd:import namespace="2f5f929c-c5b2-469d-8a2a-ce826e2534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f929c-c5b2-469d-8a2a-ce826e2534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8EA48E-55C5-4F35-8301-C92A332A9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5f929c-c5b2-469d-8a2a-ce826e253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C3DD91-18D4-42BF-AA15-F976AFCB0E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D5D948-0950-46ED-9569-2B0F42B83C32}">
  <ds:schemaRefs>
    <ds:schemaRef ds:uri="http://purl.org/dc/dcmitype/"/>
    <ds:schemaRef ds:uri="http://purl.org/dc/terms/"/>
    <ds:schemaRef ds:uri="2f5f929c-c5b2-469d-8a2a-ce826e253423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Golf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Ishaaq Khurram</dc:creator>
  <cp:lastModifiedBy>Ishaaq Khurram</cp:lastModifiedBy>
  <dcterms:created xsi:type="dcterms:W3CDTF">2026-05-07T22:22:27Z</dcterms:created>
  <dcterms:modified xsi:type="dcterms:W3CDTF">2026-05-08T22:38:27Z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0x010100F563D2D61D264B4993DD5ED1D6266822</vt:lpwstr>
  </property>
</Properties>
</file>